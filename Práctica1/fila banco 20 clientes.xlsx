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B0D3114A-B23D-4884-BF59-92E21BC3763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j Ad hoc Simulation" sheetId="1" r:id="rId1"/>
    <sheet name="Ejemplo" sheetId="2" r:id="rId2"/>
    <sheet name="10 run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rY1ugYsCMf/d9kG/tcJSIdSixTTVOcKvHMgThPb6CY="/>
    </ext>
  </extLst>
</workbook>
</file>

<file path=xl/calcChain.xml><?xml version="1.0" encoding="utf-8"?>
<calcChain xmlns="http://schemas.openxmlformats.org/spreadsheetml/2006/main">
  <c r="C4" i="2" l="1"/>
  <c r="H4" i="2" s="1"/>
  <c r="C3" i="2"/>
  <c r="H3" i="2" s="1"/>
  <c r="F2" i="2"/>
  <c r="E3" i="2" s="1"/>
  <c r="F3" i="2" s="1"/>
  <c r="E2" i="2"/>
  <c r="C3" i="1"/>
  <c r="H3" i="1" s="1"/>
  <c r="E2" i="1"/>
  <c r="F2" i="1" s="1"/>
  <c r="I3" i="1" l="1"/>
  <c r="E3" i="1"/>
  <c r="F3" i="1" s="1"/>
  <c r="G2" i="1"/>
  <c r="I4" i="2"/>
  <c r="E4" i="2"/>
  <c r="F4" i="2" s="1"/>
  <c r="G3" i="2"/>
  <c r="C4" i="1"/>
  <c r="C5" i="2"/>
  <c r="I3" i="2"/>
  <c r="G2" i="2"/>
  <c r="I5" i="2" l="1"/>
  <c r="G4" i="2"/>
  <c r="E5" i="2"/>
  <c r="F5" i="2" s="1"/>
  <c r="C5" i="1"/>
  <c r="H4" i="1"/>
  <c r="I4" i="1"/>
  <c r="G3" i="1"/>
  <c r="E4" i="1"/>
  <c r="F4" i="1" s="1"/>
  <c r="C6" i="2"/>
  <c r="H5" i="2"/>
  <c r="E6" i="2" l="1"/>
  <c r="F6" i="2" s="1"/>
  <c r="G5" i="2"/>
  <c r="I6" i="2"/>
  <c r="E5" i="1"/>
  <c r="F5" i="1" s="1"/>
  <c r="G4" i="1"/>
  <c r="I5" i="1"/>
  <c r="H5" i="1"/>
  <c r="C6" i="1"/>
  <c r="H6" i="2"/>
  <c r="C7" i="2"/>
  <c r="G5" i="1" l="1"/>
  <c r="I6" i="1"/>
  <c r="E6" i="1"/>
  <c r="F6" i="1" s="1"/>
  <c r="C7" i="1"/>
  <c r="H6" i="1"/>
  <c r="G6" i="2"/>
  <c r="I7" i="2"/>
  <c r="E7" i="2"/>
  <c r="F7" i="2" s="1"/>
  <c r="C8" i="2"/>
  <c r="H7" i="2"/>
  <c r="E8" i="2" l="1"/>
  <c r="F8" i="2" s="1"/>
  <c r="G7" i="2"/>
  <c r="I8" i="2"/>
  <c r="C8" i="1"/>
  <c r="H7" i="1"/>
  <c r="E7" i="1"/>
  <c r="F7" i="1" s="1"/>
  <c r="I7" i="1"/>
  <c r="G6" i="1"/>
  <c r="C9" i="2"/>
  <c r="H8" i="2"/>
  <c r="E8" i="1" l="1"/>
  <c r="F8" i="1" s="1"/>
  <c r="I8" i="1"/>
  <c r="G7" i="1"/>
  <c r="C9" i="1"/>
  <c r="H8" i="1"/>
  <c r="I9" i="2"/>
  <c r="E9" i="2"/>
  <c r="F9" i="2" s="1"/>
  <c r="G8" i="2"/>
  <c r="C10" i="2"/>
  <c r="H9" i="2"/>
  <c r="C11" i="2" l="1"/>
  <c r="H10" i="2"/>
  <c r="E10" i="2"/>
  <c r="F10" i="2" s="1"/>
  <c r="G9" i="2"/>
  <c r="I10" i="2"/>
  <c r="C10" i="1"/>
  <c r="H9" i="1"/>
  <c r="E9" i="1"/>
  <c r="F9" i="1" s="1"/>
  <c r="G8" i="1"/>
  <c r="I9" i="1"/>
  <c r="I10" i="1" l="1"/>
  <c r="E10" i="1"/>
  <c r="F10" i="1" s="1"/>
  <c r="G9" i="1"/>
  <c r="I11" i="2"/>
  <c r="E11" i="2"/>
  <c r="F11" i="2" s="1"/>
  <c r="G10" i="2"/>
  <c r="C11" i="1"/>
  <c r="H10" i="1"/>
  <c r="C12" i="2"/>
  <c r="H11" i="2"/>
  <c r="E12" i="2" l="1"/>
  <c r="F12" i="2" s="1"/>
  <c r="G11" i="2"/>
  <c r="I12" i="2"/>
  <c r="C12" i="1"/>
  <c r="H11" i="1"/>
  <c r="E11" i="1"/>
  <c r="F11" i="1" s="1"/>
  <c r="G10" i="1"/>
  <c r="I11" i="1"/>
  <c r="C13" i="2"/>
  <c r="H12" i="2"/>
  <c r="C14" i="2" l="1"/>
  <c r="H13" i="2"/>
  <c r="C13" i="1"/>
  <c r="H12" i="1"/>
  <c r="I12" i="1"/>
  <c r="E12" i="1"/>
  <c r="F12" i="1" s="1"/>
  <c r="G11" i="1"/>
  <c r="I13" i="2"/>
  <c r="E13" i="2"/>
  <c r="F13" i="2" s="1"/>
  <c r="G12" i="2"/>
  <c r="E14" i="2" l="1"/>
  <c r="F14" i="2" s="1"/>
  <c r="G13" i="2"/>
  <c r="I14" i="2"/>
  <c r="E13" i="1"/>
  <c r="F13" i="1" s="1"/>
  <c r="G12" i="1"/>
  <c r="I13" i="1"/>
  <c r="C14" i="1"/>
  <c r="H13" i="1"/>
  <c r="C15" i="2"/>
  <c r="H14" i="2"/>
  <c r="C16" i="2" l="1"/>
  <c r="H15" i="2"/>
  <c r="C15" i="1"/>
  <c r="H14" i="1"/>
  <c r="I14" i="1"/>
  <c r="G13" i="1"/>
  <c r="E14" i="1"/>
  <c r="F14" i="1" s="1"/>
  <c r="I15" i="2"/>
  <c r="E15" i="2"/>
  <c r="F15" i="2" s="1"/>
  <c r="G14" i="2"/>
  <c r="E16" i="2" l="1"/>
  <c r="F16" i="2" s="1"/>
  <c r="G15" i="2"/>
  <c r="I16" i="2"/>
  <c r="E15" i="1"/>
  <c r="F15" i="1" s="1"/>
  <c r="G14" i="1"/>
  <c r="I15" i="1"/>
  <c r="C16" i="1"/>
  <c r="H15" i="1"/>
  <c r="C17" i="2"/>
  <c r="H16" i="2"/>
  <c r="C18" i="2" l="1"/>
  <c r="H17" i="2"/>
  <c r="C17" i="1"/>
  <c r="H16" i="1"/>
  <c r="E16" i="1"/>
  <c r="F16" i="1" s="1"/>
  <c r="I16" i="1"/>
  <c r="G15" i="1"/>
  <c r="I17" i="2"/>
  <c r="E17" i="2"/>
  <c r="F17" i="2" s="1"/>
  <c r="G16" i="2"/>
  <c r="E18" i="2" l="1"/>
  <c r="F18" i="2" s="1"/>
  <c r="G17" i="2"/>
  <c r="I18" i="2"/>
  <c r="E17" i="1"/>
  <c r="F17" i="1" s="1"/>
  <c r="G16" i="1"/>
  <c r="I17" i="1"/>
  <c r="C18" i="1"/>
  <c r="H17" i="1"/>
  <c r="C19" i="2"/>
  <c r="H18" i="2"/>
  <c r="C19" i="1" l="1"/>
  <c r="H18" i="1"/>
  <c r="C20" i="2"/>
  <c r="H19" i="2"/>
  <c r="I18" i="1"/>
  <c r="G17" i="1"/>
  <c r="E18" i="1"/>
  <c r="F18" i="1" s="1"/>
  <c r="I19" i="2"/>
  <c r="E19" i="2"/>
  <c r="F19" i="2" s="1"/>
  <c r="G18" i="2"/>
  <c r="G19" i="2" l="1"/>
  <c r="I20" i="2"/>
  <c r="E20" i="2"/>
  <c r="F20" i="2" s="1"/>
  <c r="E19" i="1"/>
  <c r="F19" i="1" s="1"/>
  <c r="G18" i="1"/>
  <c r="I19" i="1"/>
  <c r="C21" i="2"/>
  <c r="H21" i="2" s="1"/>
  <c r="H22" i="2" s="1"/>
  <c r="H20" i="2"/>
  <c r="C20" i="1"/>
  <c r="H19" i="1"/>
  <c r="C21" i="1" l="1"/>
  <c r="H20" i="1"/>
  <c r="I21" i="2"/>
  <c r="E21" i="2"/>
  <c r="F21" i="2" s="1"/>
  <c r="G21" i="2" s="1"/>
  <c r="G22" i="2" s="1"/>
  <c r="L3" i="2" s="1"/>
  <c r="G20" i="2"/>
  <c r="I20" i="1"/>
  <c r="E20" i="1"/>
  <c r="F20" i="1" s="1"/>
  <c r="G19" i="1"/>
  <c r="E21" i="1" l="1"/>
  <c r="F21" i="1" s="1"/>
  <c r="G21" i="1" s="1"/>
  <c r="G20" i="1"/>
  <c r="I21" i="1"/>
  <c r="L6" i="2"/>
  <c r="I22" i="2"/>
  <c r="H21" i="1"/>
  <c r="H22" i="1" s="1"/>
  <c r="L4" i="1" s="1"/>
  <c r="L4" i="2"/>
  <c r="L7" i="2" l="1"/>
  <c r="L5" i="2"/>
  <c r="I22" i="1"/>
  <c r="L6" i="1"/>
  <c r="G22" i="1"/>
  <c r="L3" i="1" s="1"/>
  <c r="L7" i="1" l="1"/>
  <c r="L5" i="1"/>
</calcChain>
</file>

<file path=xl/sharedStrings.xml><?xml version="1.0" encoding="utf-8"?>
<sst xmlns="http://schemas.openxmlformats.org/spreadsheetml/2006/main" count="38" uniqueCount="17">
  <si>
    <t>Customer</t>
  </si>
  <si>
    <t>Time Between Arrivals</t>
  </si>
  <si>
    <t>Arrival Time</t>
  </si>
  <si>
    <t>Service Time</t>
  </si>
  <si>
    <t>Run</t>
  </si>
  <si>
    <t>Service Begins</t>
  </si>
  <si>
    <t>Time Service Ends</t>
  </si>
  <si>
    <t>Time in System</t>
  </si>
  <si>
    <t>Idle Time</t>
  </si>
  <si>
    <t>Time in Queue</t>
  </si>
  <si>
    <t>-</t>
  </si>
  <si>
    <t>Average time in system:</t>
  </si>
  <si>
    <t>Percent idle time:</t>
  </si>
  <si>
    <t>Average waiting time per customer:</t>
  </si>
  <si>
    <t>Fraction having to wait:</t>
  </si>
  <si>
    <t>Average waiting time of those who waited: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</si>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</sst>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#,##0.00000"/>
  </numFmts>
  <fonts count="6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b/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1" xfId="0" applyFont="1" applyBorder="1"/>
    <xf numFmtId="9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9" fontId="3" fillId="0" borderId="0" xfId="0" applyNumberFormat="1" applyFont="1"/>
    <xf numFmtId="164" fontId="3" fillId="0" borderId="0" xfId="0" applyNumberFormat="1" applyFont="1"/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/>
    </xf>
    <xf numFmtId="9" fontId="4" fillId="0" borderId="1" xfId="0" applyNumberFormat="1" applyFont="1" applyBorder="1" applyAlignment="1">
      <alignment horizontal="right"/>
    </xf>
    <xf numFmtId="9" fontId="1" fillId="0" borderId="0" xfId="0" applyNumberFormat="1" applyFont="1"/>
    <xf numFmtId="165" fontId="4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workbookViewId="0"/>
  </sheetViews>
  <sheetFormatPr baseColWidth="10" defaultColWidth="11.19921875" defaultRowHeight="15" customHeight="1" x14ac:dyDescent="0.3"/>
  <cols>
    <col min="1" max="1" width="10.59765625" customWidth="1"/>
    <col min="2" max="2" width="11.8984375" customWidth="1"/>
    <col min="3" max="9" width="10.59765625" customWidth="1"/>
    <col min="10" max="10" width="2" customWidth="1"/>
    <col min="11" max="11" width="34.796875" customWidth="1"/>
    <col min="12" max="12" width="6.796875" customWidth="1"/>
    <col min="13" max="26" width="10.59765625" customWidth="1"/>
  </cols>
  <sheetData>
    <row r="1" spans="1:12" ht="30.75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12" ht="15.75" customHeight="1" x14ac:dyDescent="0.3">
      <c r="A2" s="1">
        <v>1</v>
      </c>
      <c r="B2" s="2" t="s">
        <v>10</v>
      </c>
      <c r="C2" s="1">
        <v>0</v>
      </c>
      <c r="D2" s="3">
        <v>4</v>
      </c>
      <c r="E2" s="1">
        <f>C2</f>
        <v>0</v>
      </c>
      <c r="F2" s="1">
        <f t="shared" ref="F2:F21" si="0">E2+D2</f>
        <v>4</v>
      </c>
      <c r="G2" s="1">
        <f t="shared" ref="G2:G21" si="1">F2-C2</f>
        <v>4</v>
      </c>
      <c r="H2" s="1">
        <v>0</v>
      </c>
      <c r="I2" s="1">
        <v>0</v>
      </c>
    </row>
    <row r="3" spans="1:12" ht="15.75" customHeight="1" x14ac:dyDescent="0.3">
      <c r="A3" s="1">
        <v>2</v>
      </c>
      <c r="B3" s="2">
        <v>7</v>
      </c>
      <c r="C3" s="1">
        <f t="shared" ref="C3:C21" si="2">C2+B3</f>
        <v>7</v>
      </c>
      <c r="D3" s="3">
        <v>4</v>
      </c>
      <c r="E3" s="1">
        <f t="shared" ref="E3:E21" si="3">MAX(F2,C3)</f>
        <v>7</v>
      </c>
      <c r="F3" s="1">
        <f t="shared" si="0"/>
        <v>11</v>
      </c>
      <c r="G3" s="1">
        <f t="shared" si="1"/>
        <v>4</v>
      </c>
      <c r="H3" s="1">
        <f t="shared" ref="H3:H21" si="4">MAX(C3-F2,0)</f>
        <v>3</v>
      </c>
      <c r="I3" s="1">
        <f t="shared" ref="I3:I21" si="5">MAX(F2-C3,0)</f>
        <v>0</v>
      </c>
      <c r="K3" s="9" t="s">
        <v>11</v>
      </c>
      <c r="L3" s="9">
        <f>G22/A21</f>
        <v>5.7</v>
      </c>
    </row>
    <row r="4" spans="1:12" ht="15.75" customHeight="1" x14ac:dyDescent="0.3">
      <c r="A4" s="1">
        <v>3</v>
      </c>
      <c r="B4" s="2">
        <v>10</v>
      </c>
      <c r="C4" s="1">
        <f t="shared" si="2"/>
        <v>17</v>
      </c>
      <c r="D4" s="3">
        <v>3</v>
      </c>
      <c r="E4" s="1">
        <f t="shared" si="3"/>
        <v>17</v>
      </c>
      <c r="F4" s="1">
        <f t="shared" si="0"/>
        <v>20</v>
      </c>
      <c r="G4" s="1">
        <f t="shared" si="1"/>
        <v>3</v>
      </c>
      <c r="H4" s="1">
        <f t="shared" si="4"/>
        <v>6</v>
      </c>
      <c r="I4" s="1">
        <f t="shared" si="5"/>
        <v>0</v>
      </c>
      <c r="K4" s="9" t="s">
        <v>12</v>
      </c>
      <c r="L4" s="15">
        <f>H22/F21</f>
        <v>0.27619047619047621</v>
      </c>
    </row>
    <row r="5" spans="1:12" ht="15.75" customHeight="1" x14ac:dyDescent="0.3">
      <c r="A5" s="1">
        <v>4</v>
      </c>
      <c r="B5" s="2">
        <v>5</v>
      </c>
      <c r="C5" s="1">
        <f t="shared" si="2"/>
        <v>22</v>
      </c>
      <c r="D5" s="3">
        <v>1</v>
      </c>
      <c r="E5" s="1">
        <f t="shared" si="3"/>
        <v>22</v>
      </c>
      <c r="F5" s="1">
        <f t="shared" si="0"/>
        <v>23</v>
      </c>
      <c r="G5" s="1">
        <f t="shared" si="1"/>
        <v>1</v>
      </c>
      <c r="H5" s="1">
        <f t="shared" si="4"/>
        <v>2</v>
      </c>
      <c r="I5" s="1">
        <f t="shared" si="5"/>
        <v>0</v>
      </c>
      <c r="K5" s="9" t="s">
        <v>13</v>
      </c>
      <c r="L5" s="9">
        <f>I22/A21</f>
        <v>1.9</v>
      </c>
    </row>
    <row r="6" spans="1:12" ht="15.75" customHeight="1" x14ac:dyDescent="0.3">
      <c r="A6" s="1">
        <v>5</v>
      </c>
      <c r="B6" s="2">
        <v>10</v>
      </c>
      <c r="C6" s="1">
        <f t="shared" si="2"/>
        <v>32</v>
      </c>
      <c r="D6" s="3">
        <v>2</v>
      </c>
      <c r="E6" s="1">
        <f t="shared" si="3"/>
        <v>32</v>
      </c>
      <c r="F6" s="1">
        <f t="shared" si="0"/>
        <v>34</v>
      </c>
      <c r="G6" s="1">
        <f t="shared" si="1"/>
        <v>2</v>
      </c>
      <c r="H6" s="1">
        <f t="shared" si="4"/>
        <v>9</v>
      </c>
      <c r="I6" s="1">
        <f t="shared" si="5"/>
        <v>0</v>
      </c>
      <c r="K6" s="9" t="s">
        <v>14</v>
      </c>
      <c r="L6" s="9">
        <f>COUNTIF(I2:I21,"&gt;0")/A21</f>
        <v>0.55000000000000004</v>
      </c>
    </row>
    <row r="7" spans="1:12" ht="15.75" customHeight="1" x14ac:dyDescent="0.3">
      <c r="A7" s="1">
        <v>6</v>
      </c>
      <c r="B7" s="2">
        <v>1</v>
      </c>
      <c r="C7" s="1">
        <f t="shared" si="2"/>
        <v>33</v>
      </c>
      <c r="D7" s="3">
        <v>6</v>
      </c>
      <c r="E7" s="1">
        <f t="shared" si="3"/>
        <v>34</v>
      </c>
      <c r="F7" s="1">
        <f t="shared" si="0"/>
        <v>40</v>
      </c>
      <c r="G7" s="1">
        <f t="shared" si="1"/>
        <v>7</v>
      </c>
      <c r="H7" s="1">
        <f t="shared" si="4"/>
        <v>0</v>
      </c>
      <c r="I7" s="1">
        <f t="shared" si="5"/>
        <v>1</v>
      </c>
      <c r="K7" s="9" t="s">
        <v>15</v>
      </c>
      <c r="L7" s="11">
        <f>I22/COUNTIF(I2:I21,"&gt;0")</f>
        <v>3.4545454545454546</v>
      </c>
    </row>
    <row r="8" spans="1:12" ht="15.75" customHeight="1" x14ac:dyDescent="0.3">
      <c r="A8" s="1">
        <v>7</v>
      </c>
      <c r="B8" s="2">
        <v>4</v>
      </c>
      <c r="C8" s="1">
        <f t="shared" si="2"/>
        <v>37</v>
      </c>
      <c r="D8" s="3">
        <v>3</v>
      </c>
      <c r="E8" s="1">
        <f t="shared" si="3"/>
        <v>40</v>
      </c>
      <c r="F8" s="1">
        <f t="shared" si="0"/>
        <v>43</v>
      </c>
      <c r="G8" s="1">
        <f t="shared" si="1"/>
        <v>6</v>
      </c>
      <c r="H8" s="1">
        <f t="shared" si="4"/>
        <v>0</v>
      </c>
      <c r="I8" s="1">
        <f t="shared" si="5"/>
        <v>3</v>
      </c>
    </row>
    <row r="9" spans="1:12" ht="15.75" customHeight="1" x14ac:dyDescent="0.3">
      <c r="A9" s="1">
        <v>8</v>
      </c>
      <c r="B9" s="2">
        <v>7</v>
      </c>
      <c r="C9" s="1">
        <f t="shared" si="2"/>
        <v>44</v>
      </c>
      <c r="D9" s="3">
        <v>3</v>
      </c>
      <c r="E9" s="1">
        <f t="shared" si="3"/>
        <v>44</v>
      </c>
      <c r="F9" s="1">
        <f t="shared" si="0"/>
        <v>47</v>
      </c>
      <c r="G9" s="1">
        <f t="shared" si="1"/>
        <v>3</v>
      </c>
      <c r="H9" s="1">
        <f t="shared" si="4"/>
        <v>1</v>
      </c>
      <c r="I9" s="1">
        <f t="shared" si="5"/>
        <v>0</v>
      </c>
    </row>
    <row r="10" spans="1:12" ht="15.75" customHeight="1" x14ac:dyDescent="0.3">
      <c r="A10" s="1">
        <v>9</v>
      </c>
      <c r="B10" s="2">
        <v>5</v>
      </c>
      <c r="C10" s="1">
        <f t="shared" si="2"/>
        <v>49</v>
      </c>
      <c r="D10" s="3">
        <v>5</v>
      </c>
      <c r="E10" s="1">
        <f t="shared" si="3"/>
        <v>49</v>
      </c>
      <c r="F10" s="1">
        <f t="shared" si="0"/>
        <v>54</v>
      </c>
      <c r="G10" s="1">
        <f t="shared" si="1"/>
        <v>5</v>
      </c>
      <c r="H10" s="1">
        <f t="shared" si="4"/>
        <v>2</v>
      </c>
      <c r="I10" s="1">
        <f t="shared" si="5"/>
        <v>0</v>
      </c>
    </row>
    <row r="11" spans="1:12" ht="15.75" customHeight="1" x14ac:dyDescent="0.3">
      <c r="A11" s="1">
        <v>10</v>
      </c>
      <c r="B11" s="2">
        <v>1</v>
      </c>
      <c r="C11" s="1">
        <f t="shared" si="2"/>
        <v>50</v>
      </c>
      <c r="D11" s="3">
        <v>5</v>
      </c>
      <c r="E11" s="1">
        <f t="shared" si="3"/>
        <v>54</v>
      </c>
      <c r="F11" s="1">
        <f t="shared" si="0"/>
        <v>59</v>
      </c>
      <c r="G11" s="1">
        <f t="shared" si="1"/>
        <v>9</v>
      </c>
      <c r="H11" s="1">
        <f t="shared" si="4"/>
        <v>0</v>
      </c>
      <c r="I11" s="1">
        <f t="shared" si="5"/>
        <v>4</v>
      </c>
    </row>
    <row r="12" spans="1:12" ht="15.75" customHeight="1" x14ac:dyDescent="0.3">
      <c r="A12" s="1">
        <v>11</v>
      </c>
      <c r="B12" s="2">
        <v>2</v>
      </c>
      <c r="C12" s="1">
        <f t="shared" si="2"/>
        <v>52</v>
      </c>
      <c r="D12" s="3">
        <v>3</v>
      </c>
      <c r="E12" s="1">
        <f t="shared" si="3"/>
        <v>59</v>
      </c>
      <c r="F12" s="1">
        <f t="shared" si="0"/>
        <v>62</v>
      </c>
      <c r="G12" s="1">
        <f t="shared" si="1"/>
        <v>10</v>
      </c>
      <c r="H12" s="1">
        <f t="shared" si="4"/>
        <v>0</v>
      </c>
      <c r="I12" s="1">
        <f t="shared" si="5"/>
        <v>7</v>
      </c>
    </row>
    <row r="13" spans="1:12" ht="15.75" customHeight="1" x14ac:dyDescent="0.3">
      <c r="A13" s="1">
        <v>12</v>
      </c>
      <c r="B13" s="2">
        <v>7</v>
      </c>
      <c r="C13" s="1">
        <f t="shared" si="2"/>
        <v>59</v>
      </c>
      <c r="D13" s="3">
        <v>6</v>
      </c>
      <c r="E13" s="1">
        <f t="shared" si="3"/>
        <v>62</v>
      </c>
      <c r="F13" s="1">
        <f t="shared" si="0"/>
        <v>68</v>
      </c>
      <c r="G13" s="1">
        <f t="shared" si="1"/>
        <v>9</v>
      </c>
      <c r="H13" s="1">
        <f t="shared" si="4"/>
        <v>0</v>
      </c>
      <c r="I13" s="1">
        <f t="shared" si="5"/>
        <v>3</v>
      </c>
    </row>
    <row r="14" spans="1:12" ht="15.75" customHeight="1" x14ac:dyDescent="0.3">
      <c r="A14" s="1">
        <v>13</v>
      </c>
      <c r="B14" s="2">
        <v>2</v>
      </c>
      <c r="C14" s="1">
        <f t="shared" si="2"/>
        <v>61</v>
      </c>
      <c r="D14" s="3">
        <v>6</v>
      </c>
      <c r="E14" s="1">
        <f t="shared" si="3"/>
        <v>68</v>
      </c>
      <c r="F14" s="1">
        <f t="shared" si="0"/>
        <v>74</v>
      </c>
      <c r="G14" s="1">
        <f t="shared" si="1"/>
        <v>13</v>
      </c>
      <c r="H14" s="1">
        <f t="shared" si="4"/>
        <v>0</v>
      </c>
      <c r="I14" s="1">
        <f t="shared" si="5"/>
        <v>7</v>
      </c>
    </row>
    <row r="15" spans="1:12" ht="15.75" customHeight="1" x14ac:dyDescent="0.3">
      <c r="A15" s="1">
        <v>14</v>
      </c>
      <c r="B15" s="2">
        <v>9</v>
      </c>
      <c r="C15" s="1">
        <f t="shared" si="2"/>
        <v>70</v>
      </c>
      <c r="D15" s="3">
        <v>3</v>
      </c>
      <c r="E15" s="1">
        <f t="shared" si="3"/>
        <v>74</v>
      </c>
      <c r="F15" s="1">
        <f t="shared" si="0"/>
        <v>77</v>
      </c>
      <c r="G15" s="1">
        <f t="shared" si="1"/>
        <v>7</v>
      </c>
      <c r="H15" s="1">
        <f t="shared" si="4"/>
        <v>0</v>
      </c>
      <c r="I15" s="1">
        <f t="shared" si="5"/>
        <v>4</v>
      </c>
    </row>
    <row r="16" spans="1:12" ht="15.75" customHeight="1" x14ac:dyDescent="0.3">
      <c r="A16" s="1">
        <v>15</v>
      </c>
      <c r="B16" s="2">
        <v>5</v>
      </c>
      <c r="C16" s="1">
        <f t="shared" si="2"/>
        <v>75</v>
      </c>
      <c r="D16" s="3">
        <v>4</v>
      </c>
      <c r="E16" s="1">
        <f t="shared" si="3"/>
        <v>77</v>
      </c>
      <c r="F16" s="1">
        <f t="shared" si="0"/>
        <v>81</v>
      </c>
      <c r="G16" s="1">
        <f t="shared" si="1"/>
        <v>6</v>
      </c>
      <c r="H16" s="1">
        <f t="shared" si="4"/>
        <v>0</v>
      </c>
      <c r="I16" s="1">
        <f t="shared" si="5"/>
        <v>2</v>
      </c>
    </row>
    <row r="17" spans="1:9" ht="15.75" customHeight="1" x14ac:dyDescent="0.3">
      <c r="A17" s="1">
        <v>16</v>
      </c>
      <c r="B17" s="2">
        <v>6</v>
      </c>
      <c r="C17" s="1">
        <f t="shared" si="2"/>
        <v>81</v>
      </c>
      <c r="D17" s="3">
        <v>4</v>
      </c>
      <c r="E17" s="1">
        <f t="shared" si="3"/>
        <v>81</v>
      </c>
      <c r="F17" s="1">
        <f t="shared" si="0"/>
        <v>85</v>
      </c>
      <c r="G17" s="1">
        <f t="shared" si="1"/>
        <v>4</v>
      </c>
      <c r="H17" s="1">
        <f t="shared" si="4"/>
        <v>0</v>
      </c>
      <c r="I17" s="1">
        <f t="shared" si="5"/>
        <v>0</v>
      </c>
    </row>
    <row r="18" spans="1:9" ht="15.75" customHeight="1" x14ac:dyDescent="0.3">
      <c r="A18" s="1">
        <v>17</v>
      </c>
      <c r="B18" s="2">
        <v>10</v>
      </c>
      <c r="C18" s="1">
        <f t="shared" si="2"/>
        <v>91</v>
      </c>
      <c r="D18" s="3">
        <v>4</v>
      </c>
      <c r="E18" s="1">
        <f t="shared" si="3"/>
        <v>91</v>
      </c>
      <c r="F18" s="1">
        <f t="shared" si="0"/>
        <v>95</v>
      </c>
      <c r="G18" s="1">
        <f t="shared" si="1"/>
        <v>4</v>
      </c>
      <c r="H18" s="1">
        <f t="shared" si="4"/>
        <v>6</v>
      </c>
      <c r="I18" s="1">
        <f t="shared" si="5"/>
        <v>0</v>
      </c>
    </row>
    <row r="19" spans="1:9" ht="15.75" customHeight="1" x14ac:dyDescent="0.3">
      <c r="A19" s="1">
        <v>18</v>
      </c>
      <c r="B19" s="2">
        <v>1</v>
      </c>
      <c r="C19" s="1">
        <f t="shared" si="2"/>
        <v>92</v>
      </c>
      <c r="D19" s="3">
        <v>1</v>
      </c>
      <c r="E19" s="1">
        <f t="shared" si="3"/>
        <v>95</v>
      </c>
      <c r="F19" s="1">
        <f t="shared" si="0"/>
        <v>96</v>
      </c>
      <c r="G19" s="1">
        <f t="shared" si="1"/>
        <v>4</v>
      </c>
      <c r="H19" s="1">
        <f t="shared" si="4"/>
        <v>0</v>
      </c>
      <c r="I19" s="1">
        <f t="shared" si="5"/>
        <v>3</v>
      </c>
    </row>
    <row r="20" spans="1:9" ht="15.75" customHeight="1" x14ac:dyDescent="0.3">
      <c r="A20" s="1">
        <v>19</v>
      </c>
      <c r="B20" s="2">
        <v>2</v>
      </c>
      <c r="C20" s="1">
        <f t="shared" si="2"/>
        <v>94</v>
      </c>
      <c r="D20" s="3">
        <v>4</v>
      </c>
      <c r="E20" s="1">
        <f t="shared" si="3"/>
        <v>96</v>
      </c>
      <c r="F20" s="1">
        <f t="shared" si="0"/>
        <v>100</v>
      </c>
      <c r="G20" s="1">
        <f t="shared" si="1"/>
        <v>6</v>
      </c>
      <c r="H20" s="1">
        <f t="shared" si="4"/>
        <v>0</v>
      </c>
      <c r="I20" s="1">
        <f t="shared" si="5"/>
        <v>2</v>
      </c>
    </row>
    <row r="21" spans="1:9" ht="15.75" customHeight="1" x14ac:dyDescent="0.3">
      <c r="A21" s="1">
        <v>20</v>
      </c>
      <c r="B21" s="2">
        <v>4</v>
      </c>
      <c r="C21" s="1">
        <f t="shared" si="2"/>
        <v>98</v>
      </c>
      <c r="D21" s="3">
        <v>5</v>
      </c>
      <c r="E21" s="1">
        <f t="shared" si="3"/>
        <v>100</v>
      </c>
      <c r="F21" s="1">
        <f t="shared" si="0"/>
        <v>105</v>
      </c>
      <c r="G21" s="1">
        <f t="shared" si="1"/>
        <v>7</v>
      </c>
      <c r="H21" s="1">
        <f t="shared" si="4"/>
        <v>0</v>
      </c>
      <c r="I21" s="1">
        <f t="shared" si="5"/>
        <v>2</v>
      </c>
    </row>
    <row r="22" spans="1:9" ht="15.75" customHeight="1" x14ac:dyDescent="0.3">
      <c r="A22" s="17"/>
      <c r="B22" s="1"/>
      <c r="C22" s="1"/>
      <c r="D22" s="1"/>
      <c r="E22" s="1"/>
      <c r="F22" s="17" t="s">
        <v>16</v>
      </c>
      <c r="G22" s="17">
        <f t="shared" ref="G22:I22" si="6">SUM(G2:G21)</f>
        <v>114</v>
      </c>
      <c r="H22" s="17">
        <f t="shared" si="6"/>
        <v>29</v>
      </c>
      <c r="I22" s="17">
        <f t="shared" si="6"/>
        <v>38</v>
      </c>
    </row>
    <row r="23" spans="1:9" ht="15.75" customHeight="1" x14ac:dyDescent="0.3"/>
    <row r="24" spans="1:9" ht="15.75" customHeight="1" x14ac:dyDescent="0.3"/>
    <row r="25" spans="1:9" ht="15.75" customHeight="1" x14ac:dyDescent="0.3"/>
    <row r="26" spans="1:9" ht="15.75" customHeight="1" x14ac:dyDescent="0.3"/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abSelected="1" workbookViewId="0"/>
  </sheetViews>
  <sheetFormatPr baseColWidth="10" defaultColWidth="11.19921875" defaultRowHeight="15" customHeight="1" x14ac:dyDescent="0.3"/>
  <cols>
    <col min="1" max="1" width="9.3984375" customWidth="1"/>
    <col min="2" max="6" width="10.59765625" customWidth="1"/>
    <col min="7" max="7" width="12.19921875" customWidth="1"/>
    <col min="8" max="8" width="10.59765625" customWidth="1"/>
    <col min="9" max="9" width="13.8984375" customWidth="1"/>
    <col min="10" max="10" width="2.796875" customWidth="1"/>
    <col min="11" max="11" width="32.09765625" customWidth="1"/>
    <col min="12" max="12" width="8" customWidth="1"/>
    <col min="13" max="26" width="10.59765625" customWidth="1"/>
  </cols>
  <sheetData>
    <row r="1" spans="1:12" ht="28.5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12" ht="15.75" customHeight="1" x14ac:dyDescent="0.3">
      <c r="A2" s="1">
        <v>1</v>
      </c>
      <c r="B2" s="2" t="s">
        <v>10</v>
      </c>
      <c r="C2" s="1">
        <v>0</v>
      </c>
      <c r="D2" s="3">
        <v>3</v>
      </c>
      <c r="E2" s="1">
        <f>C2</f>
        <v>0</v>
      </c>
      <c r="F2" s="1">
        <f t="shared" ref="F2:F21" si="0">E2+D2</f>
        <v>3</v>
      </c>
      <c r="G2" s="1">
        <f t="shared" ref="G2:G21" si="1">F2-C2</f>
        <v>3</v>
      </c>
      <c r="H2" s="1">
        <v>0</v>
      </c>
      <c r="I2" s="1">
        <v>0</v>
      </c>
    </row>
    <row r="3" spans="1:12" ht="15.75" customHeight="1" x14ac:dyDescent="0.3">
      <c r="A3" s="1">
        <v>2</v>
      </c>
      <c r="B3" s="2">
        <v>10</v>
      </c>
      <c r="C3" s="1">
        <f t="shared" ref="C3:C21" si="2">C2+B3</f>
        <v>10</v>
      </c>
      <c r="D3" s="3">
        <v>6</v>
      </c>
      <c r="E3" s="1">
        <f t="shared" ref="E3:E21" si="3">MAX(F2,C3)</f>
        <v>10</v>
      </c>
      <c r="F3" s="1">
        <f t="shared" si="0"/>
        <v>16</v>
      </c>
      <c r="G3" s="1">
        <f t="shared" si="1"/>
        <v>6</v>
      </c>
      <c r="H3" s="1">
        <f t="shared" ref="H3:H21" si="4">MAX(C3-F2,0)</f>
        <v>7</v>
      </c>
      <c r="I3" s="1">
        <f t="shared" ref="I3:I21" si="5">MAX(F2-C3,0)</f>
        <v>0</v>
      </c>
      <c r="K3" s="9" t="s">
        <v>11</v>
      </c>
      <c r="L3" s="9">
        <f>G22/A21</f>
        <v>5.3</v>
      </c>
    </row>
    <row r="4" spans="1:12" ht="15.75" customHeight="1" x14ac:dyDescent="0.3">
      <c r="A4" s="1">
        <v>3</v>
      </c>
      <c r="B4" s="2">
        <v>5</v>
      </c>
      <c r="C4" s="1">
        <f t="shared" si="2"/>
        <v>15</v>
      </c>
      <c r="D4" s="3">
        <v>4</v>
      </c>
      <c r="E4" s="1">
        <f t="shared" si="3"/>
        <v>16</v>
      </c>
      <c r="F4" s="1">
        <f t="shared" si="0"/>
        <v>20</v>
      </c>
      <c r="G4" s="1">
        <f t="shared" si="1"/>
        <v>5</v>
      </c>
      <c r="H4" s="1">
        <f t="shared" si="4"/>
        <v>0</v>
      </c>
      <c r="I4" s="1">
        <f t="shared" si="5"/>
        <v>1</v>
      </c>
      <c r="K4" s="9" t="s">
        <v>12</v>
      </c>
      <c r="L4" s="15">
        <f>H22/F21</f>
        <v>0.28947368421052633</v>
      </c>
    </row>
    <row r="5" spans="1:12" ht="15.75" customHeight="1" x14ac:dyDescent="0.3">
      <c r="A5" s="1">
        <v>4</v>
      </c>
      <c r="B5" s="2">
        <v>1</v>
      </c>
      <c r="C5" s="1">
        <f t="shared" si="2"/>
        <v>16</v>
      </c>
      <c r="D5" s="3">
        <v>2</v>
      </c>
      <c r="E5" s="1">
        <f t="shared" si="3"/>
        <v>20</v>
      </c>
      <c r="F5" s="1">
        <f t="shared" si="0"/>
        <v>22</v>
      </c>
      <c r="G5" s="1">
        <f t="shared" si="1"/>
        <v>6</v>
      </c>
      <c r="H5" s="1">
        <f t="shared" si="4"/>
        <v>0</v>
      </c>
      <c r="I5" s="1">
        <f t="shared" si="5"/>
        <v>4</v>
      </c>
      <c r="K5" s="9" t="s">
        <v>13</v>
      </c>
      <c r="L5" s="9">
        <f>I22/A21</f>
        <v>1.25</v>
      </c>
    </row>
    <row r="6" spans="1:12" ht="15.75" customHeight="1" x14ac:dyDescent="0.3">
      <c r="A6" s="1">
        <v>5</v>
      </c>
      <c r="B6" s="2">
        <v>3</v>
      </c>
      <c r="C6" s="1">
        <f t="shared" si="2"/>
        <v>19</v>
      </c>
      <c r="D6" s="3">
        <v>6</v>
      </c>
      <c r="E6" s="1">
        <f t="shared" si="3"/>
        <v>22</v>
      </c>
      <c r="F6" s="1">
        <f t="shared" si="0"/>
        <v>28</v>
      </c>
      <c r="G6" s="1">
        <f t="shared" si="1"/>
        <v>9</v>
      </c>
      <c r="H6" s="1">
        <f t="shared" si="4"/>
        <v>0</v>
      </c>
      <c r="I6" s="1">
        <f t="shared" si="5"/>
        <v>3</v>
      </c>
      <c r="K6" s="9" t="s">
        <v>14</v>
      </c>
      <c r="L6" s="9">
        <f>COUNTIF(I2:I21,"&gt;0")/A21</f>
        <v>0.4</v>
      </c>
    </row>
    <row r="7" spans="1:12" ht="15.75" customHeight="1" x14ac:dyDescent="0.3">
      <c r="A7" s="1">
        <v>6</v>
      </c>
      <c r="B7" s="2">
        <v>10</v>
      </c>
      <c r="C7" s="1">
        <f t="shared" si="2"/>
        <v>29</v>
      </c>
      <c r="D7" s="3">
        <v>3</v>
      </c>
      <c r="E7" s="1">
        <f t="shared" si="3"/>
        <v>29</v>
      </c>
      <c r="F7" s="1">
        <f t="shared" si="0"/>
        <v>32</v>
      </c>
      <c r="G7" s="1">
        <f t="shared" si="1"/>
        <v>3</v>
      </c>
      <c r="H7" s="1">
        <f t="shared" si="4"/>
        <v>1</v>
      </c>
      <c r="I7" s="1">
        <f t="shared" si="5"/>
        <v>0</v>
      </c>
      <c r="K7" s="9" t="s">
        <v>15</v>
      </c>
      <c r="L7" s="9">
        <f>I22/COUNTIF(I2:I21,"&gt;0")</f>
        <v>3.125</v>
      </c>
    </row>
    <row r="8" spans="1:12" ht="15.75" customHeight="1" x14ac:dyDescent="0.3">
      <c r="A8" s="1">
        <v>7</v>
      </c>
      <c r="B8" s="2">
        <v>6</v>
      </c>
      <c r="C8" s="1">
        <f t="shared" si="2"/>
        <v>35</v>
      </c>
      <c r="D8" s="3">
        <v>1</v>
      </c>
      <c r="E8" s="1">
        <f t="shared" si="3"/>
        <v>35</v>
      </c>
      <c r="F8" s="1">
        <f t="shared" si="0"/>
        <v>36</v>
      </c>
      <c r="G8" s="1">
        <f t="shared" si="1"/>
        <v>1</v>
      </c>
      <c r="H8" s="1">
        <f t="shared" si="4"/>
        <v>3</v>
      </c>
      <c r="I8" s="1">
        <f t="shared" si="5"/>
        <v>0</v>
      </c>
    </row>
    <row r="9" spans="1:12" ht="15.75" customHeight="1" x14ac:dyDescent="0.3">
      <c r="A9" s="1">
        <v>8</v>
      </c>
      <c r="B9" s="2">
        <v>3</v>
      </c>
      <c r="C9" s="1">
        <f t="shared" si="2"/>
        <v>38</v>
      </c>
      <c r="D9" s="3">
        <v>1</v>
      </c>
      <c r="E9" s="1">
        <f t="shared" si="3"/>
        <v>38</v>
      </c>
      <c r="F9" s="1">
        <f t="shared" si="0"/>
        <v>39</v>
      </c>
      <c r="G9" s="1">
        <f t="shared" si="1"/>
        <v>1</v>
      </c>
      <c r="H9" s="1">
        <f t="shared" si="4"/>
        <v>2</v>
      </c>
      <c r="I9" s="1">
        <f t="shared" si="5"/>
        <v>0</v>
      </c>
    </row>
    <row r="10" spans="1:12" ht="15.75" customHeight="1" x14ac:dyDescent="0.3">
      <c r="A10" s="1">
        <v>9</v>
      </c>
      <c r="B10" s="2">
        <v>8</v>
      </c>
      <c r="C10" s="1">
        <f t="shared" si="2"/>
        <v>46</v>
      </c>
      <c r="D10" s="3">
        <v>7</v>
      </c>
      <c r="E10" s="1">
        <f t="shared" si="3"/>
        <v>46</v>
      </c>
      <c r="F10" s="1">
        <f t="shared" si="0"/>
        <v>53</v>
      </c>
      <c r="G10" s="1">
        <f t="shared" si="1"/>
        <v>7</v>
      </c>
      <c r="H10" s="1">
        <f t="shared" si="4"/>
        <v>7</v>
      </c>
      <c r="I10" s="1">
        <f t="shared" si="5"/>
        <v>0</v>
      </c>
    </row>
    <row r="11" spans="1:12" ht="15.75" customHeight="1" x14ac:dyDescent="0.3">
      <c r="A11" s="1">
        <v>10</v>
      </c>
      <c r="B11" s="2">
        <v>4</v>
      </c>
      <c r="C11" s="1">
        <f t="shared" si="2"/>
        <v>50</v>
      </c>
      <c r="D11" s="3">
        <v>5</v>
      </c>
      <c r="E11" s="1">
        <f t="shared" si="3"/>
        <v>53</v>
      </c>
      <c r="F11" s="1">
        <f t="shared" si="0"/>
        <v>58</v>
      </c>
      <c r="G11" s="1">
        <f t="shared" si="1"/>
        <v>8</v>
      </c>
      <c r="H11" s="1">
        <f t="shared" si="4"/>
        <v>0</v>
      </c>
      <c r="I11" s="1">
        <f t="shared" si="5"/>
        <v>3</v>
      </c>
    </row>
    <row r="12" spans="1:12" ht="15.75" customHeight="1" x14ac:dyDescent="0.3">
      <c r="A12" s="1">
        <v>11</v>
      </c>
      <c r="B12" s="2">
        <v>9</v>
      </c>
      <c r="C12" s="1">
        <f t="shared" si="2"/>
        <v>59</v>
      </c>
      <c r="D12" s="3">
        <v>5</v>
      </c>
      <c r="E12" s="1">
        <f t="shared" si="3"/>
        <v>59</v>
      </c>
      <c r="F12" s="1">
        <f t="shared" si="0"/>
        <v>64</v>
      </c>
      <c r="G12" s="1">
        <f t="shared" si="1"/>
        <v>5</v>
      </c>
      <c r="H12" s="1">
        <f t="shared" si="4"/>
        <v>1</v>
      </c>
      <c r="I12" s="1">
        <f t="shared" si="5"/>
        <v>0</v>
      </c>
    </row>
    <row r="13" spans="1:12" ht="15.75" customHeight="1" x14ac:dyDescent="0.3">
      <c r="A13" s="1">
        <v>12</v>
      </c>
      <c r="B13" s="2">
        <v>1</v>
      </c>
      <c r="C13" s="1">
        <f t="shared" si="2"/>
        <v>60</v>
      </c>
      <c r="D13" s="3">
        <v>4</v>
      </c>
      <c r="E13" s="1">
        <f t="shared" si="3"/>
        <v>64</v>
      </c>
      <c r="F13" s="1">
        <f t="shared" si="0"/>
        <v>68</v>
      </c>
      <c r="G13" s="1">
        <f t="shared" si="1"/>
        <v>8</v>
      </c>
      <c r="H13" s="1">
        <f t="shared" si="4"/>
        <v>0</v>
      </c>
      <c r="I13" s="1">
        <f t="shared" si="5"/>
        <v>4</v>
      </c>
    </row>
    <row r="14" spans="1:12" ht="15.75" customHeight="1" x14ac:dyDescent="0.3">
      <c r="A14" s="1">
        <v>13</v>
      </c>
      <c r="B14" s="2">
        <v>3</v>
      </c>
      <c r="C14" s="1">
        <f t="shared" si="2"/>
        <v>63</v>
      </c>
      <c r="D14" s="3">
        <v>1</v>
      </c>
      <c r="E14" s="1">
        <f t="shared" si="3"/>
        <v>68</v>
      </c>
      <c r="F14" s="1">
        <f t="shared" si="0"/>
        <v>69</v>
      </c>
      <c r="G14" s="1">
        <f t="shared" si="1"/>
        <v>6</v>
      </c>
      <c r="H14" s="1">
        <f t="shared" si="4"/>
        <v>0</v>
      </c>
      <c r="I14" s="1">
        <f t="shared" si="5"/>
        <v>5</v>
      </c>
    </row>
    <row r="15" spans="1:12" ht="15.75" customHeight="1" x14ac:dyDescent="0.3">
      <c r="A15" s="1">
        <v>14</v>
      </c>
      <c r="B15" s="2">
        <v>4</v>
      </c>
      <c r="C15" s="1">
        <f t="shared" si="2"/>
        <v>67</v>
      </c>
      <c r="D15" s="3">
        <v>6</v>
      </c>
      <c r="E15" s="1">
        <f t="shared" si="3"/>
        <v>69</v>
      </c>
      <c r="F15" s="1">
        <f t="shared" si="0"/>
        <v>75</v>
      </c>
      <c r="G15" s="1">
        <f t="shared" si="1"/>
        <v>8</v>
      </c>
      <c r="H15" s="1">
        <f t="shared" si="4"/>
        <v>0</v>
      </c>
      <c r="I15" s="1">
        <f t="shared" si="5"/>
        <v>2</v>
      </c>
    </row>
    <row r="16" spans="1:12" ht="15.75" customHeight="1" x14ac:dyDescent="0.3">
      <c r="A16" s="1">
        <v>15</v>
      </c>
      <c r="B16" s="2">
        <v>8</v>
      </c>
      <c r="C16" s="1">
        <f t="shared" si="2"/>
        <v>75</v>
      </c>
      <c r="D16" s="3">
        <v>7</v>
      </c>
      <c r="E16" s="1">
        <f t="shared" si="3"/>
        <v>75</v>
      </c>
      <c r="F16" s="1">
        <f t="shared" si="0"/>
        <v>82</v>
      </c>
      <c r="G16" s="1">
        <f t="shared" si="1"/>
        <v>7</v>
      </c>
      <c r="H16" s="1">
        <f t="shared" si="4"/>
        <v>0</v>
      </c>
      <c r="I16" s="1">
        <f t="shared" si="5"/>
        <v>0</v>
      </c>
    </row>
    <row r="17" spans="1:9" ht="15.75" customHeight="1" x14ac:dyDescent="0.3">
      <c r="A17" s="1">
        <v>16</v>
      </c>
      <c r="B17" s="2">
        <v>9</v>
      </c>
      <c r="C17" s="1">
        <f t="shared" si="2"/>
        <v>84</v>
      </c>
      <c r="D17" s="3">
        <v>3</v>
      </c>
      <c r="E17" s="1">
        <f t="shared" si="3"/>
        <v>84</v>
      </c>
      <c r="F17" s="1">
        <f t="shared" si="0"/>
        <v>87</v>
      </c>
      <c r="G17" s="1">
        <f t="shared" si="1"/>
        <v>3</v>
      </c>
      <c r="H17" s="1">
        <f t="shared" si="4"/>
        <v>2</v>
      </c>
      <c r="I17" s="1">
        <f t="shared" si="5"/>
        <v>0</v>
      </c>
    </row>
    <row r="18" spans="1:9" ht="15.75" customHeight="1" x14ac:dyDescent="0.3">
      <c r="A18" s="1">
        <v>17</v>
      </c>
      <c r="B18" s="2">
        <v>8</v>
      </c>
      <c r="C18" s="1">
        <f t="shared" si="2"/>
        <v>92</v>
      </c>
      <c r="D18" s="3">
        <v>6</v>
      </c>
      <c r="E18" s="1">
        <f t="shared" si="3"/>
        <v>92</v>
      </c>
      <c r="F18" s="1">
        <f t="shared" si="0"/>
        <v>98</v>
      </c>
      <c r="G18" s="1">
        <f t="shared" si="1"/>
        <v>6</v>
      </c>
      <c r="H18" s="1">
        <f t="shared" si="4"/>
        <v>5</v>
      </c>
      <c r="I18" s="1">
        <f t="shared" si="5"/>
        <v>0</v>
      </c>
    </row>
    <row r="19" spans="1:9" ht="15.75" customHeight="1" x14ac:dyDescent="0.3">
      <c r="A19" s="1">
        <v>18</v>
      </c>
      <c r="B19" s="2">
        <v>3</v>
      </c>
      <c r="C19" s="1">
        <f t="shared" si="2"/>
        <v>95</v>
      </c>
      <c r="D19" s="3">
        <v>3</v>
      </c>
      <c r="E19" s="1">
        <f t="shared" si="3"/>
        <v>98</v>
      </c>
      <c r="F19" s="1">
        <f t="shared" si="0"/>
        <v>101</v>
      </c>
      <c r="G19" s="1">
        <f t="shared" si="1"/>
        <v>6</v>
      </c>
      <c r="H19" s="1">
        <f t="shared" si="4"/>
        <v>0</v>
      </c>
      <c r="I19" s="1">
        <f t="shared" si="5"/>
        <v>3</v>
      </c>
    </row>
    <row r="20" spans="1:9" ht="15.75" customHeight="1" x14ac:dyDescent="0.3">
      <c r="A20" s="1">
        <v>19</v>
      </c>
      <c r="B20" s="2">
        <v>6</v>
      </c>
      <c r="C20" s="1">
        <f t="shared" si="2"/>
        <v>101</v>
      </c>
      <c r="D20" s="3">
        <v>1</v>
      </c>
      <c r="E20" s="1">
        <f t="shared" si="3"/>
        <v>101</v>
      </c>
      <c r="F20" s="1">
        <f t="shared" si="0"/>
        <v>102</v>
      </c>
      <c r="G20" s="1">
        <f t="shared" si="1"/>
        <v>1</v>
      </c>
      <c r="H20" s="1">
        <f t="shared" si="4"/>
        <v>0</v>
      </c>
      <c r="I20" s="1">
        <f t="shared" si="5"/>
        <v>0</v>
      </c>
    </row>
    <row r="21" spans="1:9" ht="15.75" customHeight="1" x14ac:dyDescent="0.3">
      <c r="A21" s="1">
        <v>20</v>
      </c>
      <c r="B21" s="2">
        <v>6</v>
      </c>
      <c r="C21" s="1">
        <f t="shared" si="2"/>
        <v>107</v>
      </c>
      <c r="D21" s="3">
        <v>7</v>
      </c>
      <c r="E21" s="1">
        <f t="shared" si="3"/>
        <v>107</v>
      </c>
      <c r="F21" s="1">
        <f t="shared" si="0"/>
        <v>114</v>
      </c>
      <c r="G21" s="1">
        <f t="shared" si="1"/>
        <v>7</v>
      </c>
      <c r="H21" s="1">
        <f t="shared" si="4"/>
        <v>5</v>
      </c>
      <c r="I21" s="1">
        <f t="shared" si="5"/>
        <v>0</v>
      </c>
    </row>
    <row r="22" spans="1:9" ht="15.75" customHeight="1" x14ac:dyDescent="0.3">
      <c r="A22" s="17"/>
      <c r="B22" s="1"/>
      <c r="C22" s="1"/>
      <c r="D22" s="1"/>
      <c r="E22" s="1"/>
      <c r="F22" s="17" t="s">
        <v>16</v>
      </c>
      <c r="G22" s="17">
        <f t="shared" ref="G22:I22" si="6">SUM(G2:G21)</f>
        <v>106</v>
      </c>
      <c r="H22" s="17">
        <f t="shared" si="6"/>
        <v>33</v>
      </c>
      <c r="I22" s="17">
        <f t="shared" si="6"/>
        <v>25</v>
      </c>
    </row>
    <row r="23" spans="1:9" ht="15.75" customHeight="1" x14ac:dyDescent="0.3"/>
    <row r="24" spans="1:9" ht="15.75" customHeight="1" x14ac:dyDescent="0.3"/>
    <row r="25" spans="1:9" ht="15.75" customHeight="1" x14ac:dyDescent="0.3"/>
    <row r="26" spans="1:9" ht="15.75" customHeight="1" x14ac:dyDescent="0.3"/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9921875" defaultRowHeight="15" customHeight="1" x14ac:dyDescent="0.3"/>
  <cols>
    <col min="1" max="1" width="5.09765625" customWidth="1"/>
    <col min="2" max="2" width="12.3984375" customWidth="1"/>
    <col min="3" max="3" width="13.59765625" customWidth="1"/>
  </cols>
  <sheetData>
    <row r="1" spans="1:27" x14ac:dyDescent="0.3">
      <c r="A1" s="4" t="s">
        <v>4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x14ac:dyDescent="0.3">
      <c r="A2" s="6">
        <v>1</v>
      </c>
      <c r="B2" s="6">
        <v>4.6500000000000004</v>
      </c>
      <c r="C2" s="7">
        <v>0.3982</v>
      </c>
      <c r="D2" s="6">
        <v>1.25</v>
      </c>
      <c r="E2" s="6">
        <v>0.3</v>
      </c>
      <c r="F2" s="8">
        <v>4.1669999999999998</v>
      </c>
      <c r="H2" s="9"/>
      <c r="I2" s="10"/>
      <c r="J2" s="9"/>
      <c r="K2" s="9"/>
      <c r="L2" s="11"/>
      <c r="M2" s="12"/>
      <c r="N2" s="9"/>
      <c r="O2" s="9"/>
      <c r="P2" s="9"/>
      <c r="Q2" s="9"/>
      <c r="R2" s="9"/>
    </row>
    <row r="3" spans="1:27" x14ac:dyDescent="0.3">
      <c r="A3" s="6">
        <v>2</v>
      </c>
      <c r="B3" s="6">
        <v>3.6</v>
      </c>
      <c r="C3" s="7">
        <v>0.47</v>
      </c>
      <c r="D3" s="6">
        <v>0.5</v>
      </c>
      <c r="E3" s="6">
        <v>0.2</v>
      </c>
      <c r="F3" s="6">
        <v>2.5</v>
      </c>
      <c r="H3" s="9"/>
      <c r="I3" s="9"/>
      <c r="J3" s="12"/>
      <c r="K3" s="9"/>
      <c r="L3" s="12"/>
      <c r="M3" s="9"/>
      <c r="N3" s="9"/>
      <c r="O3" s="9"/>
      <c r="P3" s="9"/>
      <c r="Q3" s="9"/>
    </row>
    <row r="4" spans="1:27" x14ac:dyDescent="0.3">
      <c r="A4" s="6">
        <v>3</v>
      </c>
      <c r="B4" s="13">
        <v>4.0999999999999996</v>
      </c>
      <c r="C4" s="14">
        <v>0.41959999999999997</v>
      </c>
      <c r="D4" s="13">
        <v>0.85</v>
      </c>
      <c r="E4" s="13">
        <v>0.35</v>
      </c>
      <c r="F4" s="16">
        <v>2.4</v>
      </c>
      <c r="H4" s="9"/>
      <c r="I4" s="10"/>
      <c r="J4" s="9"/>
      <c r="K4" s="9"/>
      <c r="L4" s="11"/>
    </row>
    <row r="5" spans="1:27" x14ac:dyDescent="0.3">
      <c r="A5" s="6">
        <v>4</v>
      </c>
      <c r="B5" s="6">
        <v>5.8</v>
      </c>
      <c r="C5" s="7">
        <v>0.27</v>
      </c>
      <c r="D5" s="6">
        <v>1.9</v>
      </c>
      <c r="E5" s="6">
        <v>0.4</v>
      </c>
      <c r="F5" s="6">
        <v>4.75</v>
      </c>
      <c r="H5" s="9"/>
      <c r="I5" s="10"/>
      <c r="J5" s="9"/>
      <c r="K5" s="9"/>
      <c r="L5" s="11"/>
    </row>
    <row r="6" spans="1:27" x14ac:dyDescent="0.3">
      <c r="A6" s="6">
        <v>5</v>
      </c>
      <c r="B6" s="13">
        <v>5</v>
      </c>
      <c r="C6" s="14">
        <v>0.23469999999999999</v>
      </c>
      <c r="D6" s="13">
        <v>1.25</v>
      </c>
      <c r="E6" s="13">
        <v>0.3</v>
      </c>
      <c r="F6" s="6">
        <v>4.0999999999999996</v>
      </c>
      <c r="H6" s="9"/>
      <c r="I6" s="9"/>
      <c r="J6" s="12"/>
      <c r="K6" s="9"/>
      <c r="L6" s="12"/>
      <c r="M6" s="9"/>
      <c r="N6" s="9"/>
      <c r="O6" s="9"/>
      <c r="P6" s="9"/>
      <c r="Q6" s="9"/>
    </row>
    <row r="7" spans="1:27" x14ac:dyDescent="0.3">
      <c r="A7" s="6">
        <v>6</v>
      </c>
      <c r="B7" s="6">
        <v>5.2</v>
      </c>
      <c r="C7" s="7">
        <v>0.26129999999999998</v>
      </c>
      <c r="D7" s="6">
        <v>1.1499999999999999</v>
      </c>
      <c r="E7" s="6">
        <v>0.4</v>
      </c>
      <c r="F7" s="6">
        <v>2.8</v>
      </c>
    </row>
    <row r="8" spans="1:27" x14ac:dyDescent="0.3">
      <c r="A8" s="6">
        <v>7</v>
      </c>
      <c r="B8" s="6">
        <v>3.45</v>
      </c>
      <c r="C8" s="7">
        <v>0.47</v>
      </c>
      <c r="D8" s="6">
        <v>0.3</v>
      </c>
      <c r="E8" s="6">
        <v>0.15</v>
      </c>
      <c r="F8" s="6">
        <v>2</v>
      </c>
    </row>
    <row r="9" spans="1:27" x14ac:dyDescent="0.3">
      <c r="A9" s="6">
        <v>8</v>
      </c>
      <c r="B9" s="6">
        <v>3.35</v>
      </c>
      <c r="C9" s="7">
        <v>0.40949999999999998</v>
      </c>
      <c r="D9" s="6">
        <v>0.25</v>
      </c>
      <c r="E9" s="6">
        <v>0.1</v>
      </c>
      <c r="F9" s="6">
        <v>2.5</v>
      </c>
    </row>
    <row r="10" spans="1:27" x14ac:dyDescent="0.3">
      <c r="A10" s="6">
        <v>9</v>
      </c>
      <c r="B10" s="6">
        <v>4.25</v>
      </c>
      <c r="C10" s="7">
        <v>0.35399999999999998</v>
      </c>
      <c r="D10" s="6">
        <v>0.6</v>
      </c>
      <c r="E10" s="6">
        <v>0.35</v>
      </c>
      <c r="F10" s="6">
        <v>1.714</v>
      </c>
    </row>
    <row r="11" spans="1:27" x14ac:dyDescent="0.3">
      <c r="A11" s="6">
        <v>10</v>
      </c>
      <c r="B11" s="6">
        <v>5.3</v>
      </c>
      <c r="C11" s="7">
        <v>0.28999999999999998</v>
      </c>
      <c r="D11" s="6">
        <v>1.25</v>
      </c>
      <c r="E11" s="6">
        <v>0.4</v>
      </c>
      <c r="F11" s="6">
        <v>3.125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 Ad hoc Simulation</vt:lpstr>
      <vt:lpstr>Ejemplo</vt:lpstr>
      <vt:lpstr>10 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monroy</cp:lastModifiedBy>
  <dcterms:created xsi:type="dcterms:W3CDTF">2020-08-03T13:50:15Z</dcterms:created>
  <dcterms:modified xsi:type="dcterms:W3CDTF">2026-08-17T17:45:58Z</dcterms:modified>
</cp:coreProperties>
</file>